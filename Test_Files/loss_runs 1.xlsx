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CGL Loss Run" sheetId="2" r:id="rId5"/>
    <sheet state="visible" name="Workers Comp Loss Run" sheetId="3" r:id="rId6"/>
    <sheet state="visible" name="Commercial Auto Loss Run" sheetId="4" r:id="rId7"/>
    <sheet state="visible" name="Commercial Property Loss Run" sheetId="5" r:id="rId8"/>
    <sheet state="visible" name="Prof Liability E&amp;O Loss Run" sheetId="6" r:id="rId9"/>
  </sheets>
  <definedNames/>
  <calcPr/>
  <extLst>
    <ext uri="GoogleSheetsCustomDataVersion2">
      <go:sheetsCustomData xmlns:go="http://customooxmlschemas.google.com/" r:id="rId10" roundtripDataChecksum="Pm96ig5HRkNd2Do87LiXg3KXnNajJZY7cD1OH4br9KE="/>
    </ext>
  </extLst>
</workbook>
</file>

<file path=xl/sharedStrings.xml><?xml version="1.0" encoding="utf-8"?>
<sst xmlns="http://schemas.openxmlformats.org/spreadsheetml/2006/main" count="390" uniqueCount="285">
  <si>
    <t>LOSS RUN REPORT PACKAGE – SUMMARY INDEX</t>
  </si>
  <si>
    <t>Prepared by: Risk Management Services  |  Date: March 2, 2026  |  Confidential – For Underwriting Purposes Only</t>
  </si>
  <si>
    <t>Sheet</t>
  </si>
  <si>
    <t>Line of Business</t>
  </si>
  <si>
    <t>Insured</t>
  </si>
  <si>
    <t>Policy #</t>
  </si>
  <si>
    <t>Policy Period</t>
  </si>
  <si>
    <t># Claims</t>
  </si>
  <si>
    <t>Notes</t>
  </si>
  <si>
    <t>CGL Loss Run</t>
  </si>
  <si>
    <t>Commercial General Liability</t>
  </si>
  <si>
    <t>Apex Construction LLC</t>
  </si>
  <si>
    <t>CGL-2021-00847</t>
  </si>
  <si>
    <t>01/01/2021 – 12/31/2023</t>
  </si>
  <si>
    <t>4 open claims</t>
  </si>
  <si>
    <t>Workers Comp Loss Run</t>
  </si>
  <si>
    <t>Workers' Compensation</t>
  </si>
  <si>
    <t>Greenfield Manufacturing Inc.</t>
  </si>
  <si>
    <t>WC-2022-55391</t>
  </si>
  <si>
    <t>01/01/2020 – 12/31/2023</t>
  </si>
  <si>
    <t>Commercial Auto Loss Run</t>
  </si>
  <si>
    <t>Commercial Automobile</t>
  </si>
  <si>
    <t>FastTrack Logistics LLC</t>
  </si>
  <si>
    <t>CA-2022-78412</t>
  </si>
  <si>
    <t>07/01/2021 – 06/30/2024</t>
  </si>
  <si>
    <t>3 open claims</t>
  </si>
  <si>
    <t>Commercial Property Loss Run</t>
  </si>
  <si>
    <t>Commercial Property</t>
  </si>
  <si>
    <t>Westfield Retail Group</t>
  </si>
  <si>
    <t>CP-2020-31047</t>
  </si>
  <si>
    <t>2 open claims</t>
  </si>
  <si>
    <t>Prof Liability E&amp;O Loss Run</t>
  </si>
  <si>
    <t>Professional Liability / E&amp;O</t>
  </si>
  <si>
    <t>Sterling Financial Advisors LLC</t>
  </si>
  <si>
    <t>PLI-2021-00219</t>
  </si>
  <si>
    <t>5 open claims; coverage review on PLI-006</t>
  </si>
  <si>
    <t>COMMERCIAL GENERAL LIABILITY – LOSS RUN REPORT</t>
  </si>
  <si>
    <t>Insured: Apex Construction LLC  |  Policy #: CGL-2021-00847  |  Period: 01/01/2021 – 12/31/2023  |  Carrier: Pinnacle Insurance Co.</t>
  </si>
  <si>
    <t>Claim_id</t>
  </si>
  <si>
    <t>Date of Loss</t>
  </si>
  <si>
    <t>Date Reported</t>
  </si>
  <si>
    <t>Claimant Name</t>
  </si>
  <si>
    <t>Description of Loss</t>
  </si>
  <si>
    <t>Indemnity Paid</t>
  </si>
  <si>
    <t>Medical Paid</t>
  </si>
  <si>
    <t>Expense Paid</t>
  </si>
  <si>
    <t>Total Paid</t>
  </si>
  <si>
    <t>Reserve</t>
  </si>
  <si>
    <t>Total Incurred</t>
  </si>
  <si>
    <t>Status</t>
  </si>
  <si>
    <t>CGL-001</t>
  </si>
  <si>
    <t>John Martinez</t>
  </si>
  <si>
    <t>Slip &amp; fall – wet floor at job site</t>
  </si>
  <si>
    <t>CLOSED</t>
  </si>
  <si>
    <t>CGL-002</t>
  </si>
  <si>
    <t>Sarah Thompson</t>
  </si>
  <si>
    <t>Property damage – contractor equipment</t>
  </si>
  <si>
    <t>OPEN</t>
  </si>
  <si>
    <t>CGL-003</t>
  </si>
  <si>
    <t>Robert Chen</t>
  </si>
  <si>
    <t>Bodily injury – falling debris</t>
  </si>
  <si>
    <t>CGL-004</t>
  </si>
  <si>
    <t>Linda Foster</t>
  </si>
  <si>
    <t>Premises liability – parking lot</t>
  </si>
  <si>
    <t>CGL-005</t>
  </si>
  <si>
    <t>Michael Wong</t>
  </si>
  <si>
    <t>Products liability – defective material</t>
  </si>
  <si>
    <t>CGL-006</t>
  </si>
  <si>
    <t>Patricia Adams</t>
  </si>
  <si>
    <t>Bodily injury – scaffolding collapse</t>
  </si>
  <si>
    <t>CGL-007</t>
  </si>
  <si>
    <t>David Lee</t>
  </si>
  <si>
    <t>Property damage – water intrusion</t>
  </si>
  <si>
    <t>CGL-008</t>
  </si>
  <si>
    <t>Angela Rivera</t>
  </si>
  <si>
    <t>Slip &amp; fall – construction entrance</t>
  </si>
  <si>
    <t>CGL-009</t>
  </si>
  <si>
    <t>James Patel</t>
  </si>
  <si>
    <t>Bodily injury – vehicle contact</t>
  </si>
  <si>
    <t>CGL-010</t>
  </si>
  <si>
    <t>Nancy Scott</t>
  </si>
  <si>
    <t>Property damage – third party</t>
  </si>
  <si>
    <t>TOTALS</t>
  </si>
  <si>
    <t>WORKERS' COMPENSATION – LOSS RUN REPORT</t>
  </si>
  <si>
    <t>Insured: Greenfield Manufacturing Inc.  |  Policy : WC-2022-55391  |  Period: 01/01/2020 – 12/31/2023  |  State: Ohio</t>
  </si>
  <si>
    <t>Date of Injury</t>
  </si>
  <si>
    <t>Employee Name</t>
  </si>
  <si>
    <t>Job Title</t>
  </si>
  <si>
    <t>Nature of Injury</t>
  </si>
  <si>
    <t>Body Part</t>
  </si>
  <si>
    <t>Days Lost</t>
  </si>
  <si>
    <t>TTD Paid</t>
  </si>
  <si>
    <t>WC-001</t>
  </si>
  <si>
    <t>Tom Harrigan</t>
  </si>
  <si>
    <t>Machinist</t>
  </si>
  <si>
    <t>Laceration</t>
  </si>
  <si>
    <t>Right Hand</t>
  </si>
  <si>
    <t>WC-002</t>
  </si>
  <si>
    <t>Rosa Mendez</t>
  </si>
  <si>
    <t>Assembly Line</t>
  </si>
  <si>
    <t>Strain/Sprain</t>
  </si>
  <si>
    <t>Lower Back</t>
  </si>
  <si>
    <t>WC-003</t>
  </si>
  <si>
    <t>Earl Jackson</t>
  </si>
  <si>
    <t>Forklift Operator</t>
  </si>
  <si>
    <t>Fracture</t>
  </si>
  <si>
    <t>Left Wrist</t>
  </si>
  <si>
    <t>WC-004</t>
  </si>
  <si>
    <t>Megan O'Brien</t>
  </si>
  <si>
    <t>QC Inspector</t>
  </si>
  <si>
    <t>Repetitive Motion</t>
  </si>
  <si>
    <t>Shoulder</t>
  </si>
  <si>
    <t>WC-005</t>
  </si>
  <si>
    <t>Andre Williams</t>
  </si>
  <si>
    <t>Welder</t>
  </si>
  <si>
    <t>Burns</t>
  </si>
  <si>
    <t>Face/Neck</t>
  </si>
  <si>
    <t>WC-006</t>
  </si>
  <si>
    <t>Susan Park</t>
  </si>
  <si>
    <t>Electrician</t>
  </si>
  <si>
    <t>Contusion</t>
  </si>
  <si>
    <t>Knee</t>
  </si>
  <si>
    <t>WC-007</t>
  </si>
  <si>
    <t>Carlos Reyes</t>
  </si>
  <si>
    <t>Maintenance</t>
  </si>
  <si>
    <t>Hernia</t>
  </si>
  <si>
    <t>Abdomen</t>
  </si>
  <si>
    <t>WC-008</t>
  </si>
  <si>
    <t>Betty Nguyen</t>
  </si>
  <si>
    <t>Shipping Clerk</t>
  </si>
  <si>
    <t>Strain</t>
  </si>
  <si>
    <t>Upper Back</t>
  </si>
  <si>
    <t>WC-009</t>
  </si>
  <si>
    <t>Frank Gallo</t>
  </si>
  <si>
    <t>Press Operator</t>
  </si>
  <si>
    <t>Amputation</t>
  </si>
  <si>
    <t>Right Thumb</t>
  </si>
  <si>
    <t>WC-010</t>
  </si>
  <si>
    <t>Diana Cooper</t>
  </si>
  <si>
    <t>Supervisor</t>
  </si>
  <si>
    <t>Concussion</t>
  </si>
  <si>
    <t>Head</t>
  </si>
  <si>
    <t>WC-011</t>
  </si>
  <si>
    <t>Raymond Torres</t>
  </si>
  <si>
    <t>Line Worker</t>
  </si>
  <si>
    <t>Left Foot</t>
  </si>
  <si>
    <t>WC-012</t>
  </si>
  <si>
    <t>Helen Marsh</t>
  </si>
  <si>
    <t>Packer</t>
  </si>
  <si>
    <t>COMMERCIAL AUTOMOBILE – LOSS RUN REPORT</t>
  </si>
  <si>
    <t>Insured: FastTrack Logistics LLC  |  Policy : CA-2022-78412  |  Period: 07/01/2021 – 06/30/2024  |  Fleet Size: 42 Vehicles</t>
  </si>
  <si>
    <t>Claim #</t>
  </si>
  <si>
    <t>Driver Name</t>
  </si>
  <si>
    <t>Vehicle ID</t>
  </si>
  <si>
    <t>Type of Loss</t>
  </si>
  <si>
    <t>At Fault</t>
  </si>
  <si>
    <t>BI Paid</t>
  </si>
  <si>
    <t>PD Paid</t>
  </si>
  <si>
    <t>CA-001</t>
  </si>
  <si>
    <t>Marcus Hill</t>
  </si>
  <si>
    <t>TRK-14</t>
  </si>
  <si>
    <t>Rear-end collision</t>
  </si>
  <si>
    <t>Yes</t>
  </si>
  <si>
    <t>CA-002</t>
  </si>
  <si>
    <t>Tanya Brooks</t>
  </si>
  <si>
    <t>VAN-07</t>
  </si>
  <si>
    <t>Side-swipe</t>
  </si>
  <si>
    <t>No</t>
  </si>
  <si>
    <t>CA-003</t>
  </si>
  <si>
    <t>Samuel Grant</t>
  </si>
  <si>
    <t>TRK-22</t>
  </si>
  <si>
    <t>Intersection collision</t>
  </si>
  <si>
    <t>CA-004</t>
  </si>
  <si>
    <t>Priya Singh</t>
  </si>
  <si>
    <t>SED-03</t>
  </si>
  <si>
    <t>Parking lot</t>
  </si>
  <si>
    <t>CA-005</t>
  </si>
  <si>
    <t>Larry Dunne</t>
  </si>
  <si>
    <t>TRK-08</t>
  </si>
  <si>
    <t>Rollover</t>
  </si>
  <si>
    <t>CA-006</t>
  </si>
  <si>
    <t>Carla Dixon</t>
  </si>
  <si>
    <t>VAN-12</t>
  </si>
  <si>
    <t>Pedestrian injury</t>
  </si>
  <si>
    <t>CA-007</t>
  </si>
  <si>
    <t>Brian Yates</t>
  </si>
  <si>
    <t>TRK-31</t>
  </si>
  <si>
    <t>Hit &amp; run (parked)</t>
  </si>
  <si>
    <t>N/A</t>
  </si>
  <si>
    <t>CA-008</t>
  </si>
  <si>
    <t>Monica Perez</t>
  </si>
  <si>
    <t>SED-09</t>
  </si>
  <si>
    <t>CA-009</t>
  </si>
  <si>
    <t>Derek Nash</t>
  </si>
  <si>
    <t>TRK-17</t>
  </si>
  <si>
    <t>Head-on collision</t>
  </si>
  <si>
    <t>CA-010</t>
  </si>
  <si>
    <t>Shonda Lewis</t>
  </si>
  <si>
    <t>VAN-02</t>
  </si>
  <si>
    <t>Weather – ice</t>
  </si>
  <si>
    <t>CA-011</t>
  </si>
  <si>
    <t>Victor Okafor</t>
  </si>
  <si>
    <t>TRK-05</t>
  </si>
  <si>
    <t>Backing accident</t>
  </si>
  <si>
    <t>COMMERCIAL PROPERTY – LOSS RUN REPORT</t>
  </si>
  <si>
    <t>Insured: Westfield Retail Group  |  Policy: CP-2020-31047  |  Period: 01/01/2020 – 12/31/2023  |  TIV: $12,500,000</t>
  </si>
  <si>
    <t>Location</t>
  </si>
  <si>
    <t>Cause of Loss</t>
  </si>
  <si>
    <t>Building Damage</t>
  </si>
  <si>
    <t>Contents Damage</t>
  </si>
  <si>
    <t>BI Loss</t>
  </si>
  <si>
    <t>Deductible</t>
  </si>
  <si>
    <t>Net Paid</t>
  </si>
  <si>
    <t>CP-001</t>
  </si>
  <si>
    <t>Store #1 – Cleveland, OH</t>
  </si>
  <si>
    <t>Fire</t>
  </si>
  <si>
    <t>CP-002</t>
  </si>
  <si>
    <t>Warehouse – Columbus, OH</t>
  </si>
  <si>
    <t>Wind/Hail</t>
  </si>
  <si>
    <t>CP-003</t>
  </si>
  <si>
    <t>Store #3 – Dayton, OH</t>
  </si>
  <si>
    <t>Water Damage – Burst Pipe</t>
  </si>
  <si>
    <t>CP-004</t>
  </si>
  <si>
    <t>Winter Storm – Ice Dam</t>
  </si>
  <si>
    <t>CP-005</t>
  </si>
  <si>
    <t>Store #5 – Akron, OH</t>
  </si>
  <si>
    <t>Vandalism/Break-in</t>
  </si>
  <si>
    <t>CP-006</t>
  </si>
  <si>
    <t>Roof Collapse</t>
  </si>
  <si>
    <t>CP-007</t>
  </si>
  <si>
    <t>Store #2 – Toledo, OH</t>
  </si>
  <si>
    <t>Sprinkler Discharge</t>
  </si>
  <si>
    <t>CP-008</t>
  </si>
  <si>
    <t>Store #4 – Cincinnati, OH</t>
  </si>
  <si>
    <t>Theft</t>
  </si>
  <si>
    <t>CP-009</t>
  </si>
  <si>
    <t>Fire – Electrical</t>
  </si>
  <si>
    <t>CP-010</t>
  </si>
  <si>
    <t>Flood</t>
  </si>
  <si>
    <t>PROFESSIONAL LIABILITY (E&amp;O) – LOSS RUN REPORT</t>
  </si>
  <si>
    <t>Insured: Sterling Financial Advisors LLC  |  Policy #: PLI-2021-00219  |  Period: 01/01/2021 – 12/31/2023  |  Retroactive Date: 01/01/2018</t>
  </si>
  <si>
    <t>Date of Incident</t>
  </si>
  <si>
    <t>Claimant</t>
  </si>
  <si>
    <t>Nature of Claim</t>
  </si>
  <si>
    <t>Services Involved</t>
  </si>
  <si>
    <t>Defense Costs</t>
  </si>
  <si>
    <t>Coverage</t>
  </si>
  <si>
    <t>PLI-001</t>
  </si>
  <si>
    <t>Brentwood Capital LLC</t>
  </si>
  <si>
    <t>Negligent investment advice – unsuitable products</t>
  </si>
  <si>
    <t>Portfolio Mgmt</t>
  </si>
  <si>
    <t>Subject to $50k SIR</t>
  </si>
  <si>
    <t>PLI-002</t>
  </si>
  <si>
    <t>Estate of Harold Vance</t>
  </si>
  <si>
    <t>Failure to execute client instructions</t>
  </si>
  <si>
    <t>Estate Planning</t>
  </si>
  <si>
    <t>Within Policy Limits</t>
  </si>
  <si>
    <t>PLI-003</t>
  </si>
  <si>
    <t>Cornerstone Pension Fund</t>
  </si>
  <si>
    <t>Misrepresentation of fund performance</t>
  </si>
  <si>
    <t>Pension Advisory</t>
  </si>
  <si>
    <t>PLI-004</t>
  </si>
  <si>
    <t>Lakewood Holdings Inc.</t>
  </si>
  <si>
    <t>Breach of fiduciary duty – conflict of interest</t>
  </si>
  <si>
    <t>Investment Banking</t>
  </si>
  <si>
    <t>PLI-005</t>
  </si>
  <si>
    <t>Mary &amp; John Stillwater</t>
  </si>
  <si>
    <t>Unauthorized trading</t>
  </si>
  <si>
    <t>Brokerage</t>
  </si>
  <si>
    <t>PLI-006</t>
  </si>
  <si>
    <t>Sunrise Tech Ventures</t>
  </si>
  <si>
    <t>Due diligence failure – M&amp;A</t>
  </si>
  <si>
    <t>M&amp;A Advisory</t>
  </si>
  <si>
    <t>Coverage Under Review</t>
  </si>
  <si>
    <t>PLI-007</t>
  </si>
  <si>
    <t>Thomas Carey Revocable Trust</t>
  </si>
  <si>
    <t>Unsuitable risk profile – elder client</t>
  </si>
  <si>
    <t>Wealth Mgmt</t>
  </si>
  <si>
    <t>PLI-008</t>
  </si>
  <si>
    <t>Blue Ridge REIT</t>
  </si>
  <si>
    <t>Negligent financial projections</t>
  </si>
  <si>
    <t>Financial Consulting</t>
  </si>
  <si>
    <t>PLI-009</t>
  </si>
  <si>
    <t>Peter &amp; Angela Chu</t>
  </si>
  <si>
    <t>Failure to diversify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</si>
</sst>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0.0"/>
      <color rgb="FFFFFFFF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4.0"/>
      <color rgb="FFFFFFFF"/>
      <name val="Arial"/>
    </font>
    <font>
      <b/>
      <sz val="10.0"/>
      <color rgb="FFFFFFFF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BDD7EE"/>
        <bgColor rgb="FFBDD7EE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bottom" wrapText="0"/>
    </xf>
    <xf borderId="4" fillId="3" fontId="4" numFmtId="0" xfId="0" applyAlignment="1" applyBorder="1" applyFont="1">
      <alignment horizontal="center" shrinkToFit="0" vertical="center" wrapText="0"/>
    </xf>
    <xf borderId="4" fillId="4" fontId="5" numFmtId="0" xfId="0" applyAlignment="1" applyBorder="1" applyFill="1" applyFont="1">
      <alignment shrinkToFit="0" vertical="center" wrapText="0"/>
    </xf>
    <xf borderId="4" fillId="5" fontId="5" numFmtId="0" xfId="0" applyAlignment="1" applyBorder="1" applyFill="1" applyFont="1">
      <alignment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4" fontId="5" numFmtId="164" xfId="0" applyAlignment="1" applyBorder="1" applyFont="1" applyNumberFormat="1">
      <alignment shrinkToFit="0" vertical="center" wrapText="0"/>
    </xf>
    <xf borderId="4" fillId="4" fontId="5" numFmtId="4" xfId="0" applyAlignment="1" applyBorder="1" applyFont="1" applyNumberFormat="1">
      <alignment shrinkToFit="0" vertical="center" wrapText="0"/>
    </xf>
    <xf borderId="4" fillId="5" fontId="5" numFmtId="164" xfId="0" applyAlignment="1" applyBorder="1" applyFont="1" applyNumberFormat="1">
      <alignment shrinkToFit="0" vertical="center" wrapText="0"/>
    </xf>
    <xf borderId="4" fillId="5" fontId="5" numFmtId="4" xfId="0" applyAlignment="1" applyBorder="1" applyFont="1" applyNumberFormat="1">
      <alignment shrinkToFit="0" vertical="center" wrapText="0"/>
    </xf>
    <xf borderId="4" fillId="6" fontId="8" numFmtId="0" xfId="0" applyAlignment="1" applyBorder="1" applyFill="1" applyFont="1">
      <alignment shrinkToFit="0" vertical="center" wrapText="0"/>
    </xf>
    <xf borderId="4" fillId="6" fontId="8" numFmtId="4" xfId="0" applyAlignment="1" applyBorder="1" applyFont="1" applyNumberFormat="1">
      <alignment shrinkToFit="0" vertical="center" wrapText="0"/>
    </xf>
    <xf borderId="1" fillId="3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30.0"/>
    <col customWidth="1" min="3" max="3" width="32.0"/>
    <col customWidth="1" min="4" max="4" width="20.0"/>
    <col customWidth="1" min="5" max="5" width="26.0"/>
    <col customWidth="1" min="6" max="6" width="12.0"/>
    <col customWidth="1" min="7" max="7" width="38.0"/>
    <col customWidth="1" min="8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2"/>
      <c r="E2" s="2"/>
      <c r="F2" s="2"/>
      <c r="G2" s="3"/>
    </row>
    <row r="4" ht="24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21.75" customHeight="1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>
        <v>10.0</v>
      </c>
      <c r="G5" s="6" t="s">
        <v>14</v>
      </c>
    </row>
    <row r="6" ht="21.75" customHeight="1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>
        <v>12.0</v>
      </c>
      <c r="G6" s="7" t="s">
        <v>14</v>
      </c>
    </row>
    <row r="7" ht="21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>
        <v>11.0</v>
      </c>
      <c r="G7" s="6" t="s">
        <v>25</v>
      </c>
    </row>
    <row r="8" ht="21.75" customHeight="1">
      <c r="A8" s="7" t="s">
        <v>26</v>
      </c>
      <c r="B8" s="7" t="s">
        <v>27</v>
      </c>
      <c r="C8" s="7" t="s">
        <v>28</v>
      </c>
      <c r="D8" s="7" t="s">
        <v>29</v>
      </c>
      <c r="E8" s="7" t="s">
        <v>19</v>
      </c>
      <c r="F8" s="7">
        <v>10.0</v>
      </c>
      <c r="G8" s="7" t="s">
        <v>30</v>
      </c>
    </row>
    <row r="9" ht="21.75" customHeight="1">
      <c r="A9" s="6" t="s">
        <v>31</v>
      </c>
      <c r="B9" s="6" t="s">
        <v>32</v>
      </c>
      <c r="C9" s="6" t="s">
        <v>33</v>
      </c>
      <c r="D9" s="6" t="s">
        <v>34</v>
      </c>
      <c r="E9" s="6" t="s">
        <v>13</v>
      </c>
      <c r="F9" s="6">
        <v>9.0</v>
      </c>
      <c r="G9" s="6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20.0"/>
    <col customWidth="1" min="5" max="5" width="35.0"/>
    <col customWidth="1" min="6" max="11" width="14.0"/>
    <col customWidth="1" min="12" max="12" width="10.0"/>
    <col customWidth="1" min="13" max="26" width="8.71"/>
  </cols>
  <sheetData>
    <row r="1" ht="30.0" customHeight="1">
      <c r="A1" s="8" t="s">
        <v>36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37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7.75" customHeight="1">
      <c r="A3" s="9" t="s">
        <v>38</v>
      </c>
      <c r="B3" s="10" t="s">
        <v>39</v>
      </c>
      <c r="C3" s="10" t="s">
        <v>40</v>
      </c>
      <c r="D3" s="10" t="s">
        <v>41</v>
      </c>
      <c r="E3" s="10" t="s">
        <v>42</v>
      </c>
      <c r="F3" s="10" t="s">
        <v>43</v>
      </c>
      <c r="G3" s="10" t="s">
        <v>44</v>
      </c>
      <c r="H3" s="10" t="s">
        <v>45</v>
      </c>
      <c r="I3" s="10" t="s">
        <v>46</v>
      </c>
      <c r="J3" s="10" t="s">
        <v>47</v>
      </c>
      <c r="K3" s="10" t="s">
        <v>48</v>
      </c>
      <c r="L3" s="10" t="s">
        <v>49</v>
      </c>
    </row>
    <row r="4">
      <c r="A4" s="6" t="s">
        <v>50</v>
      </c>
      <c r="B4" s="11">
        <v>44270.0</v>
      </c>
      <c r="C4" s="11">
        <v>44275.0</v>
      </c>
      <c r="D4" s="6" t="s">
        <v>51</v>
      </c>
      <c r="E4" s="6" t="s">
        <v>52</v>
      </c>
      <c r="F4" s="12">
        <v>12500.0</v>
      </c>
      <c r="G4" s="12">
        <v>8200.0</v>
      </c>
      <c r="H4" s="12">
        <v>3100.0</v>
      </c>
      <c r="I4" s="12">
        <f t="shared" ref="I4:I13" si="1">SUM(F4:H4)</f>
        <v>23800</v>
      </c>
      <c r="J4" s="12">
        <v>0.0</v>
      </c>
      <c r="K4" s="12">
        <f t="shared" ref="K4:K13" si="2">I4+J4</f>
        <v>23800</v>
      </c>
      <c r="L4" s="6" t="s">
        <v>53</v>
      </c>
    </row>
    <row r="5">
      <c r="A5" s="7" t="s">
        <v>54</v>
      </c>
      <c r="B5" s="13">
        <v>44385.0</v>
      </c>
      <c r="C5" s="13">
        <v>44387.0</v>
      </c>
      <c r="D5" s="7" t="s">
        <v>55</v>
      </c>
      <c r="E5" s="7" t="s">
        <v>56</v>
      </c>
      <c r="F5" s="14">
        <v>0.0</v>
      </c>
      <c r="G5" s="14">
        <v>0.0</v>
      </c>
      <c r="H5" s="14">
        <v>1500.0</v>
      </c>
      <c r="I5" s="14">
        <f t="shared" si="1"/>
        <v>1500</v>
      </c>
      <c r="J5" s="14">
        <v>22000.0</v>
      </c>
      <c r="K5" s="14">
        <f t="shared" si="2"/>
        <v>23500</v>
      </c>
      <c r="L5" s="7" t="s">
        <v>57</v>
      </c>
    </row>
    <row r="6">
      <c r="A6" s="6" t="s">
        <v>58</v>
      </c>
      <c r="B6" s="11">
        <v>44522.0</v>
      </c>
      <c r="C6" s="11">
        <v>44531.0</v>
      </c>
      <c r="D6" s="6" t="s">
        <v>59</v>
      </c>
      <c r="E6" s="6" t="s">
        <v>60</v>
      </c>
      <c r="F6" s="12">
        <v>45000.0</v>
      </c>
      <c r="G6" s="12">
        <v>18750.0</v>
      </c>
      <c r="H6" s="12">
        <v>9200.0</v>
      </c>
      <c r="I6" s="12">
        <f t="shared" si="1"/>
        <v>72950</v>
      </c>
      <c r="J6" s="12">
        <v>0.0</v>
      </c>
      <c r="K6" s="12">
        <f t="shared" si="2"/>
        <v>72950</v>
      </c>
      <c r="L6" s="6" t="s">
        <v>53</v>
      </c>
    </row>
    <row r="7">
      <c r="A7" s="7" t="s">
        <v>61</v>
      </c>
      <c r="B7" s="13">
        <v>44606.0</v>
      </c>
      <c r="C7" s="13">
        <v>44610.0</v>
      </c>
      <c r="D7" s="7" t="s">
        <v>62</v>
      </c>
      <c r="E7" s="7" t="s">
        <v>63</v>
      </c>
      <c r="F7" s="14">
        <v>0.0</v>
      </c>
      <c r="G7" s="14">
        <v>4300.0</v>
      </c>
      <c r="H7" s="14">
        <v>2100.0</v>
      </c>
      <c r="I7" s="14">
        <f t="shared" si="1"/>
        <v>6400</v>
      </c>
      <c r="J7" s="14">
        <v>35000.0</v>
      </c>
      <c r="K7" s="14">
        <f t="shared" si="2"/>
        <v>41400</v>
      </c>
      <c r="L7" s="7" t="s">
        <v>57</v>
      </c>
    </row>
    <row r="8">
      <c r="A8" s="6" t="s">
        <v>64</v>
      </c>
      <c r="B8" s="11">
        <v>44742.0</v>
      </c>
      <c r="C8" s="11">
        <v>44747.0</v>
      </c>
      <c r="D8" s="6" t="s">
        <v>65</v>
      </c>
      <c r="E8" s="6" t="s">
        <v>66</v>
      </c>
      <c r="F8" s="12">
        <v>28500.0</v>
      </c>
      <c r="G8" s="12">
        <v>0.0</v>
      </c>
      <c r="H8" s="12">
        <v>6750.0</v>
      </c>
      <c r="I8" s="12">
        <f t="shared" si="1"/>
        <v>35250</v>
      </c>
      <c r="J8" s="12">
        <v>0.0</v>
      </c>
      <c r="K8" s="12">
        <f t="shared" si="2"/>
        <v>35250</v>
      </c>
      <c r="L8" s="6" t="s">
        <v>53</v>
      </c>
    </row>
    <row r="9">
      <c r="A9" s="7" t="s">
        <v>67</v>
      </c>
      <c r="B9" s="13">
        <v>44815.0</v>
      </c>
      <c r="C9" s="13">
        <v>44818.0</v>
      </c>
      <c r="D9" s="7" t="s">
        <v>68</v>
      </c>
      <c r="E9" s="7" t="s">
        <v>69</v>
      </c>
      <c r="F9" s="14">
        <v>0.0</v>
      </c>
      <c r="G9" s="14">
        <v>0.0</v>
      </c>
      <c r="H9" s="14">
        <v>4200.0</v>
      </c>
      <c r="I9" s="14">
        <f t="shared" si="1"/>
        <v>4200</v>
      </c>
      <c r="J9" s="14">
        <v>125000.0</v>
      </c>
      <c r="K9" s="14">
        <f t="shared" si="2"/>
        <v>129200</v>
      </c>
      <c r="L9" s="7" t="s">
        <v>57</v>
      </c>
    </row>
    <row r="10">
      <c r="A10" s="6" t="s">
        <v>70</v>
      </c>
      <c r="B10" s="11">
        <v>44946.0</v>
      </c>
      <c r="C10" s="11">
        <v>44951.0</v>
      </c>
      <c r="D10" s="6" t="s">
        <v>71</v>
      </c>
      <c r="E10" s="6" t="s">
        <v>72</v>
      </c>
      <c r="F10" s="12">
        <v>7800.0</v>
      </c>
      <c r="G10" s="12">
        <v>0.0</v>
      </c>
      <c r="H10" s="12">
        <v>1900.0</v>
      </c>
      <c r="I10" s="12">
        <f t="shared" si="1"/>
        <v>9700</v>
      </c>
      <c r="J10" s="12">
        <v>0.0</v>
      </c>
      <c r="K10" s="12">
        <f t="shared" si="2"/>
        <v>9700</v>
      </c>
      <c r="L10" s="6" t="s">
        <v>53</v>
      </c>
    </row>
    <row r="11">
      <c r="A11" s="7" t="s">
        <v>73</v>
      </c>
      <c r="B11" s="13">
        <v>45049.0</v>
      </c>
      <c r="C11" s="13">
        <v>45053.0</v>
      </c>
      <c r="D11" s="7" t="s">
        <v>74</v>
      </c>
      <c r="E11" s="7" t="s">
        <v>75</v>
      </c>
      <c r="F11" s="14">
        <v>0.0</v>
      </c>
      <c r="G11" s="14">
        <v>2100.0</v>
      </c>
      <c r="H11" s="14">
        <v>800.0</v>
      </c>
      <c r="I11" s="14">
        <f t="shared" si="1"/>
        <v>2900</v>
      </c>
      <c r="J11" s="14">
        <v>18000.0</v>
      </c>
      <c r="K11" s="14">
        <f t="shared" si="2"/>
        <v>20900</v>
      </c>
      <c r="L11" s="7" t="s">
        <v>57</v>
      </c>
    </row>
    <row r="12">
      <c r="A12" s="6" t="s">
        <v>76</v>
      </c>
      <c r="B12" s="11">
        <v>45155.0</v>
      </c>
      <c r="C12" s="11">
        <v>45158.0</v>
      </c>
      <c r="D12" s="6" t="s">
        <v>77</v>
      </c>
      <c r="E12" s="6" t="s">
        <v>78</v>
      </c>
      <c r="F12" s="12">
        <v>15200.0</v>
      </c>
      <c r="G12" s="12">
        <v>9400.0</v>
      </c>
      <c r="H12" s="12">
        <v>3600.0</v>
      </c>
      <c r="I12" s="12">
        <f t="shared" si="1"/>
        <v>28200</v>
      </c>
      <c r="J12" s="12">
        <v>0.0</v>
      </c>
      <c r="K12" s="12">
        <f t="shared" si="2"/>
        <v>28200</v>
      </c>
      <c r="L12" s="6" t="s">
        <v>53</v>
      </c>
    </row>
    <row r="13">
      <c r="A13" s="7" t="s">
        <v>79</v>
      </c>
      <c r="B13" s="13">
        <v>45235.0</v>
      </c>
      <c r="C13" s="13">
        <v>45239.0</v>
      </c>
      <c r="D13" s="7" t="s">
        <v>80</v>
      </c>
      <c r="E13" s="7" t="s">
        <v>81</v>
      </c>
      <c r="F13" s="14">
        <v>0.0</v>
      </c>
      <c r="G13" s="14">
        <v>0.0</v>
      </c>
      <c r="H13" s="14">
        <v>1200.0</v>
      </c>
      <c r="I13" s="14">
        <f t="shared" si="1"/>
        <v>1200</v>
      </c>
      <c r="J13" s="14">
        <v>9500.0</v>
      </c>
      <c r="K13" s="14">
        <f t="shared" si="2"/>
        <v>10700</v>
      </c>
      <c r="L13" s="7" t="s">
        <v>57</v>
      </c>
    </row>
    <row r="14">
      <c r="A14" s="15"/>
      <c r="B14" s="15"/>
      <c r="C14" s="15"/>
      <c r="D14" s="15"/>
      <c r="E14" s="15" t="s">
        <v>82</v>
      </c>
      <c r="F14" s="16">
        <f t="shared" ref="F14:K14" si="3">SUM(F4:F13)</f>
        <v>109000</v>
      </c>
      <c r="G14" s="16">
        <f t="shared" si="3"/>
        <v>42750</v>
      </c>
      <c r="H14" s="16">
        <f t="shared" si="3"/>
        <v>34350</v>
      </c>
      <c r="I14" s="16">
        <f t="shared" si="3"/>
        <v>186100</v>
      </c>
      <c r="J14" s="16">
        <f t="shared" si="3"/>
        <v>209500</v>
      </c>
      <c r="K14" s="16">
        <f t="shared" si="3"/>
        <v>395600</v>
      </c>
      <c r="L14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20.0"/>
    <col customWidth="1" min="5" max="5" width="18.0"/>
    <col customWidth="1" min="6" max="6" width="20.0"/>
    <col customWidth="1" min="7" max="7" width="14.0"/>
    <col customWidth="1" min="8" max="8" width="11.0"/>
    <col customWidth="1" min="9" max="13" width="14.0"/>
    <col customWidth="1" min="14" max="14" width="10.0"/>
    <col customWidth="1" min="15" max="26" width="8.71"/>
  </cols>
  <sheetData>
    <row r="1" ht="30.0" customHeight="1">
      <c r="A1" s="8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17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7.75" customHeight="1">
      <c r="A3" s="9" t="s">
        <v>38</v>
      </c>
      <c r="B3" s="10" t="s">
        <v>85</v>
      </c>
      <c r="C3" s="10" t="s">
        <v>40</v>
      </c>
      <c r="D3" s="10" t="s">
        <v>86</v>
      </c>
      <c r="E3" s="10" t="s">
        <v>87</v>
      </c>
      <c r="F3" s="10" t="s">
        <v>88</v>
      </c>
      <c r="G3" s="10" t="s">
        <v>89</v>
      </c>
      <c r="H3" s="10" t="s">
        <v>90</v>
      </c>
      <c r="I3" s="10" t="s">
        <v>91</v>
      </c>
      <c r="J3" s="10" t="s">
        <v>44</v>
      </c>
      <c r="K3" s="10" t="s">
        <v>45</v>
      </c>
      <c r="L3" s="10" t="s">
        <v>46</v>
      </c>
      <c r="M3" s="10" t="s">
        <v>47</v>
      </c>
      <c r="N3" s="10" t="s">
        <v>49</v>
      </c>
    </row>
    <row r="4">
      <c r="A4" s="6" t="s">
        <v>92</v>
      </c>
      <c r="B4" s="11">
        <v>43871.0</v>
      </c>
      <c r="C4" s="11">
        <v>43872.0</v>
      </c>
      <c r="D4" s="6" t="s">
        <v>93</v>
      </c>
      <c r="E4" s="6" t="s">
        <v>94</v>
      </c>
      <c r="F4" s="6" t="s">
        <v>95</v>
      </c>
      <c r="G4" s="6" t="s">
        <v>96</v>
      </c>
      <c r="H4" s="6">
        <v>5.0</v>
      </c>
      <c r="I4" s="12">
        <v>1200.0</v>
      </c>
      <c r="J4" s="12">
        <v>3400.0</v>
      </c>
      <c r="K4" s="12">
        <v>450.0</v>
      </c>
      <c r="L4" s="12">
        <f t="shared" ref="L4:L15" si="1">SUM(I4:K4)</f>
        <v>5050</v>
      </c>
      <c r="M4" s="12">
        <v>0.0</v>
      </c>
      <c r="N4" s="6" t="s">
        <v>53</v>
      </c>
    </row>
    <row r="5">
      <c r="A5" s="7" t="s">
        <v>97</v>
      </c>
      <c r="B5" s="13">
        <v>43997.0</v>
      </c>
      <c r="C5" s="13">
        <v>43998.0</v>
      </c>
      <c r="D5" s="7" t="s">
        <v>98</v>
      </c>
      <c r="E5" s="7" t="s">
        <v>99</v>
      </c>
      <c r="F5" s="7" t="s">
        <v>100</v>
      </c>
      <c r="G5" s="7" t="s">
        <v>101</v>
      </c>
      <c r="H5" s="7">
        <v>45.0</v>
      </c>
      <c r="I5" s="14">
        <v>9800.0</v>
      </c>
      <c r="J5" s="14">
        <v>12600.0</v>
      </c>
      <c r="K5" s="14">
        <v>1800.0</v>
      </c>
      <c r="L5" s="14">
        <f t="shared" si="1"/>
        <v>24200</v>
      </c>
      <c r="M5" s="14">
        <v>0.0</v>
      </c>
      <c r="N5" s="7" t="s">
        <v>53</v>
      </c>
    </row>
    <row r="6">
      <c r="A6" s="6" t="s">
        <v>102</v>
      </c>
      <c r="B6" s="11">
        <v>44096.0</v>
      </c>
      <c r="C6" s="11">
        <v>44098.0</v>
      </c>
      <c r="D6" s="6" t="s">
        <v>103</v>
      </c>
      <c r="E6" s="6" t="s">
        <v>104</v>
      </c>
      <c r="F6" s="6" t="s">
        <v>105</v>
      </c>
      <c r="G6" s="6" t="s">
        <v>106</v>
      </c>
      <c r="H6" s="6">
        <v>90.0</v>
      </c>
      <c r="I6" s="12">
        <v>19500.0</v>
      </c>
      <c r="J6" s="12">
        <v>28400.0</v>
      </c>
      <c r="K6" s="12">
        <v>4200.0</v>
      </c>
      <c r="L6" s="12">
        <f t="shared" si="1"/>
        <v>52100</v>
      </c>
      <c r="M6" s="12">
        <v>0.0</v>
      </c>
      <c r="N6" s="6" t="s">
        <v>53</v>
      </c>
    </row>
    <row r="7">
      <c r="A7" s="7" t="s">
        <v>107</v>
      </c>
      <c r="B7" s="13">
        <v>44204.0</v>
      </c>
      <c r="C7" s="13">
        <v>44205.0</v>
      </c>
      <c r="D7" s="7" t="s">
        <v>108</v>
      </c>
      <c r="E7" s="7" t="s">
        <v>109</v>
      </c>
      <c r="F7" s="7" t="s">
        <v>110</v>
      </c>
      <c r="G7" s="7" t="s">
        <v>111</v>
      </c>
      <c r="H7" s="7">
        <v>30.0</v>
      </c>
      <c r="I7" s="14">
        <v>6500.0</v>
      </c>
      <c r="J7" s="14">
        <v>9200.0</v>
      </c>
      <c r="K7" s="14">
        <v>1100.0</v>
      </c>
      <c r="L7" s="14">
        <f t="shared" si="1"/>
        <v>16800</v>
      </c>
      <c r="M7" s="14">
        <v>0.0</v>
      </c>
      <c r="N7" s="7" t="s">
        <v>53</v>
      </c>
    </row>
    <row r="8">
      <c r="A8" s="6" t="s">
        <v>112</v>
      </c>
      <c r="B8" s="11">
        <v>44336.0</v>
      </c>
      <c r="C8" s="11">
        <v>44337.0</v>
      </c>
      <c r="D8" s="6" t="s">
        <v>113</v>
      </c>
      <c r="E8" s="6" t="s">
        <v>114</v>
      </c>
      <c r="F8" s="6" t="s">
        <v>115</v>
      </c>
      <c r="G8" s="6" t="s">
        <v>116</v>
      </c>
      <c r="H8" s="6">
        <v>120.0</v>
      </c>
      <c r="I8" s="12">
        <v>26000.0</v>
      </c>
      <c r="J8" s="12">
        <v>41000.0</v>
      </c>
      <c r="K8" s="12">
        <v>6500.0</v>
      </c>
      <c r="L8" s="12">
        <f t="shared" si="1"/>
        <v>73500</v>
      </c>
      <c r="M8" s="12">
        <v>15000.0</v>
      </c>
      <c r="N8" s="6" t="s">
        <v>57</v>
      </c>
    </row>
    <row r="9">
      <c r="A9" s="7" t="s">
        <v>117</v>
      </c>
      <c r="B9" s="13">
        <v>44503.0</v>
      </c>
      <c r="C9" s="13">
        <v>44505.0</v>
      </c>
      <c r="D9" s="7" t="s">
        <v>118</v>
      </c>
      <c r="E9" s="7" t="s">
        <v>119</v>
      </c>
      <c r="F9" s="7" t="s">
        <v>120</v>
      </c>
      <c r="G9" s="7" t="s">
        <v>121</v>
      </c>
      <c r="H9" s="7">
        <v>12.0</v>
      </c>
      <c r="I9" s="14">
        <v>2600.0</v>
      </c>
      <c r="J9" s="14">
        <v>4100.0</v>
      </c>
      <c r="K9" s="14">
        <v>550.0</v>
      </c>
      <c r="L9" s="14">
        <f t="shared" si="1"/>
        <v>7250</v>
      </c>
      <c r="M9" s="14">
        <v>0.0</v>
      </c>
      <c r="N9" s="7" t="s">
        <v>53</v>
      </c>
    </row>
    <row r="10">
      <c r="A10" s="6" t="s">
        <v>122</v>
      </c>
      <c r="B10" s="11">
        <v>44637.0</v>
      </c>
      <c r="C10" s="11">
        <v>44638.0</v>
      </c>
      <c r="D10" s="6" t="s">
        <v>123</v>
      </c>
      <c r="E10" s="6" t="s">
        <v>124</v>
      </c>
      <c r="F10" s="6" t="s">
        <v>125</v>
      </c>
      <c r="G10" s="6" t="s">
        <v>126</v>
      </c>
      <c r="H10" s="6">
        <v>60.0</v>
      </c>
      <c r="I10" s="12">
        <v>13000.0</v>
      </c>
      <c r="J10" s="12">
        <v>19800.0</v>
      </c>
      <c r="K10" s="12">
        <v>2900.0</v>
      </c>
      <c r="L10" s="12">
        <f t="shared" si="1"/>
        <v>35700</v>
      </c>
      <c r="M10" s="12">
        <v>0.0</v>
      </c>
      <c r="N10" s="6" t="s">
        <v>53</v>
      </c>
    </row>
    <row r="11">
      <c r="A11" s="7" t="s">
        <v>127</v>
      </c>
      <c r="B11" s="13">
        <v>44770.0</v>
      </c>
      <c r="C11" s="13">
        <v>44772.0</v>
      </c>
      <c r="D11" s="7" t="s">
        <v>128</v>
      </c>
      <c r="E11" s="7" t="s">
        <v>129</v>
      </c>
      <c r="F11" s="7" t="s">
        <v>130</v>
      </c>
      <c r="G11" s="7" t="s">
        <v>131</v>
      </c>
      <c r="H11" s="7">
        <v>8.0</v>
      </c>
      <c r="I11" s="14">
        <v>1750.0</v>
      </c>
      <c r="J11" s="14">
        <v>2900.0</v>
      </c>
      <c r="K11" s="14">
        <v>380.0</v>
      </c>
      <c r="L11" s="14">
        <f t="shared" si="1"/>
        <v>5030</v>
      </c>
      <c r="M11" s="14">
        <v>0.0</v>
      </c>
      <c r="N11" s="7" t="s">
        <v>53</v>
      </c>
    </row>
    <row r="12">
      <c r="A12" s="6" t="s">
        <v>132</v>
      </c>
      <c r="B12" s="11">
        <v>44971.0</v>
      </c>
      <c r="C12" s="11">
        <v>44972.0</v>
      </c>
      <c r="D12" s="6" t="s">
        <v>133</v>
      </c>
      <c r="E12" s="6" t="s">
        <v>134</v>
      </c>
      <c r="F12" s="6" t="s">
        <v>135</v>
      </c>
      <c r="G12" s="6" t="s">
        <v>136</v>
      </c>
      <c r="H12" s="6">
        <v>180.0</v>
      </c>
      <c r="I12" s="12">
        <v>39000.0</v>
      </c>
      <c r="J12" s="12">
        <v>58000.0</v>
      </c>
      <c r="K12" s="12">
        <v>9800.0</v>
      </c>
      <c r="L12" s="12">
        <f t="shared" si="1"/>
        <v>106800</v>
      </c>
      <c r="M12" s="12">
        <v>85000.0</v>
      </c>
      <c r="N12" s="6" t="s">
        <v>57</v>
      </c>
    </row>
    <row r="13">
      <c r="A13" s="7" t="s">
        <v>137</v>
      </c>
      <c r="B13" s="13">
        <v>45086.0</v>
      </c>
      <c r="C13" s="13">
        <v>45087.0</v>
      </c>
      <c r="D13" s="7" t="s">
        <v>138</v>
      </c>
      <c r="E13" s="7" t="s">
        <v>139</v>
      </c>
      <c r="F13" s="7" t="s">
        <v>140</v>
      </c>
      <c r="G13" s="7" t="s">
        <v>141</v>
      </c>
      <c r="H13" s="7">
        <v>21.0</v>
      </c>
      <c r="I13" s="14">
        <v>4600.0</v>
      </c>
      <c r="J13" s="14">
        <v>7800.0</v>
      </c>
      <c r="K13" s="14">
        <v>950.0</v>
      </c>
      <c r="L13" s="14">
        <f t="shared" si="1"/>
        <v>13350</v>
      </c>
      <c r="M13" s="14">
        <v>12000.0</v>
      </c>
      <c r="N13" s="7" t="s">
        <v>57</v>
      </c>
    </row>
    <row r="14">
      <c r="A14" s="6" t="s">
        <v>142</v>
      </c>
      <c r="B14" s="11">
        <v>45194.0</v>
      </c>
      <c r="C14" s="11">
        <v>45195.0</v>
      </c>
      <c r="D14" s="6" t="s">
        <v>143</v>
      </c>
      <c r="E14" s="6" t="s">
        <v>144</v>
      </c>
      <c r="F14" s="6" t="s">
        <v>95</v>
      </c>
      <c r="G14" s="6" t="s">
        <v>145</v>
      </c>
      <c r="H14" s="6">
        <v>3.0</v>
      </c>
      <c r="I14" s="12">
        <v>650.0</v>
      </c>
      <c r="J14" s="12">
        <v>1200.0</v>
      </c>
      <c r="K14" s="12">
        <v>200.0</v>
      </c>
      <c r="L14" s="12">
        <f t="shared" si="1"/>
        <v>2050</v>
      </c>
      <c r="M14" s="12">
        <v>0.0</v>
      </c>
      <c r="N14" s="6" t="s">
        <v>53</v>
      </c>
    </row>
    <row r="15">
      <c r="A15" s="7" t="s">
        <v>146</v>
      </c>
      <c r="B15" s="13">
        <v>45261.0</v>
      </c>
      <c r="C15" s="13">
        <v>45263.0</v>
      </c>
      <c r="D15" s="7" t="s">
        <v>147</v>
      </c>
      <c r="E15" s="7" t="s">
        <v>148</v>
      </c>
      <c r="F15" s="7" t="s">
        <v>130</v>
      </c>
      <c r="G15" s="7" t="s">
        <v>101</v>
      </c>
      <c r="H15" s="7">
        <v>0.0</v>
      </c>
      <c r="I15" s="14">
        <v>0.0</v>
      </c>
      <c r="J15" s="14">
        <v>850.0</v>
      </c>
      <c r="K15" s="14">
        <v>150.0</v>
      </c>
      <c r="L15" s="14">
        <f t="shared" si="1"/>
        <v>1000</v>
      </c>
      <c r="M15" s="14">
        <v>8000.0</v>
      </c>
      <c r="N15" s="7" t="s">
        <v>57</v>
      </c>
    </row>
    <row r="16">
      <c r="A16" s="15"/>
      <c r="B16" s="15"/>
      <c r="C16" s="15"/>
      <c r="D16" s="15"/>
      <c r="E16" s="15"/>
      <c r="F16" s="15"/>
      <c r="G16" s="15" t="s">
        <v>82</v>
      </c>
      <c r="H16" s="15">
        <f t="shared" ref="H16:M16" si="2">SUM(H4:H15)</f>
        <v>574</v>
      </c>
      <c r="I16" s="16">
        <f t="shared" si="2"/>
        <v>124600</v>
      </c>
      <c r="J16" s="16">
        <f t="shared" si="2"/>
        <v>189250</v>
      </c>
      <c r="K16" s="16">
        <f t="shared" si="2"/>
        <v>28980</v>
      </c>
      <c r="L16" s="16">
        <f t="shared" si="2"/>
        <v>342830</v>
      </c>
      <c r="M16" s="16">
        <f t="shared" si="2"/>
        <v>120000</v>
      </c>
      <c r="N16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20.0"/>
    <col customWidth="1" min="5" max="5" width="12.0"/>
    <col customWidth="1" min="6" max="6" width="24.0"/>
    <col customWidth="1" min="7" max="7" width="10.0"/>
    <col customWidth="1" min="8" max="12" width="14.0"/>
    <col customWidth="1" min="13" max="13" width="10.0"/>
    <col customWidth="1" min="14" max="26" width="8.71"/>
  </cols>
  <sheetData>
    <row r="1" ht="30.0" customHeight="1">
      <c r="A1" s="8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17" t="s">
        <v>150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27.75" customHeight="1">
      <c r="A3" s="10" t="s">
        <v>151</v>
      </c>
      <c r="B3" s="10" t="s">
        <v>39</v>
      </c>
      <c r="C3" s="10" t="s">
        <v>40</v>
      </c>
      <c r="D3" s="10" t="s">
        <v>152</v>
      </c>
      <c r="E3" s="10" t="s">
        <v>153</v>
      </c>
      <c r="F3" s="10" t="s">
        <v>154</v>
      </c>
      <c r="G3" s="10" t="s">
        <v>155</v>
      </c>
      <c r="H3" s="10" t="s">
        <v>156</v>
      </c>
      <c r="I3" s="10" t="s">
        <v>157</v>
      </c>
      <c r="J3" s="10" t="s">
        <v>44</v>
      </c>
      <c r="K3" s="10" t="s">
        <v>46</v>
      </c>
      <c r="L3" s="10" t="s">
        <v>47</v>
      </c>
      <c r="M3" s="10" t="s">
        <v>49</v>
      </c>
    </row>
    <row r="4">
      <c r="A4" s="6" t="s">
        <v>158</v>
      </c>
      <c r="B4" s="11">
        <v>44411.0</v>
      </c>
      <c r="C4" s="11">
        <v>44412.0</v>
      </c>
      <c r="D4" s="6" t="s">
        <v>159</v>
      </c>
      <c r="E4" s="6" t="s">
        <v>160</v>
      </c>
      <c r="F4" s="6" t="s">
        <v>161</v>
      </c>
      <c r="G4" s="6" t="s">
        <v>162</v>
      </c>
      <c r="H4" s="12">
        <v>0.0</v>
      </c>
      <c r="I4" s="12">
        <v>4200.0</v>
      </c>
      <c r="J4" s="12">
        <v>0.0</v>
      </c>
      <c r="K4" s="12">
        <f t="shared" ref="K4:K14" si="1">SUM(H4:J4)</f>
        <v>4200</v>
      </c>
      <c r="L4" s="12">
        <v>0.0</v>
      </c>
      <c r="M4" s="6" t="s">
        <v>53</v>
      </c>
    </row>
    <row r="5">
      <c r="A5" s="7" t="s">
        <v>163</v>
      </c>
      <c r="B5" s="13">
        <v>44488.0</v>
      </c>
      <c r="C5" s="13">
        <v>44489.0</v>
      </c>
      <c r="D5" s="7" t="s">
        <v>164</v>
      </c>
      <c r="E5" s="7" t="s">
        <v>165</v>
      </c>
      <c r="F5" s="7" t="s">
        <v>166</v>
      </c>
      <c r="G5" s="7" t="s">
        <v>167</v>
      </c>
      <c r="H5" s="14">
        <v>0.0</v>
      </c>
      <c r="I5" s="14">
        <v>1800.0</v>
      </c>
      <c r="J5" s="14">
        <v>0.0</v>
      </c>
      <c r="K5" s="14">
        <f t="shared" si="1"/>
        <v>1800</v>
      </c>
      <c r="L5" s="14">
        <v>0.0</v>
      </c>
      <c r="M5" s="7" t="s">
        <v>53</v>
      </c>
    </row>
    <row r="6">
      <c r="A6" s="6" t="s">
        <v>168</v>
      </c>
      <c r="B6" s="11">
        <v>44589.0</v>
      </c>
      <c r="C6" s="11">
        <v>44591.0</v>
      </c>
      <c r="D6" s="6" t="s">
        <v>169</v>
      </c>
      <c r="E6" s="6" t="s">
        <v>170</v>
      </c>
      <c r="F6" s="6" t="s">
        <v>171</v>
      </c>
      <c r="G6" s="6" t="s">
        <v>162</v>
      </c>
      <c r="H6" s="12">
        <v>35000.0</v>
      </c>
      <c r="I6" s="12">
        <v>12000.0</v>
      </c>
      <c r="J6" s="12">
        <v>18500.0</v>
      </c>
      <c r="K6" s="12">
        <f t="shared" si="1"/>
        <v>65500</v>
      </c>
      <c r="L6" s="12">
        <v>45000.0</v>
      </c>
      <c r="M6" s="6" t="s">
        <v>57</v>
      </c>
    </row>
    <row r="7">
      <c r="A7" s="7" t="s">
        <v>172</v>
      </c>
      <c r="B7" s="13">
        <v>44662.0</v>
      </c>
      <c r="C7" s="13">
        <v>44663.0</v>
      </c>
      <c r="D7" s="7" t="s">
        <v>173</v>
      </c>
      <c r="E7" s="7" t="s">
        <v>174</v>
      </c>
      <c r="F7" s="7" t="s">
        <v>175</v>
      </c>
      <c r="G7" s="7" t="s">
        <v>162</v>
      </c>
      <c r="H7" s="14">
        <v>0.0</v>
      </c>
      <c r="I7" s="14">
        <v>850.0</v>
      </c>
      <c r="J7" s="14">
        <v>0.0</v>
      </c>
      <c r="K7" s="14">
        <f t="shared" si="1"/>
        <v>850</v>
      </c>
      <c r="L7" s="14">
        <v>0.0</v>
      </c>
      <c r="M7" s="7" t="s">
        <v>53</v>
      </c>
    </row>
    <row r="8">
      <c r="A8" s="6" t="s">
        <v>176</v>
      </c>
      <c r="B8" s="11">
        <v>44749.0</v>
      </c>
      <c r="C8" s="11">
        <v>44750.0</v>
      </c>
      <c r="D8" s="6" t="s">
        <v>177</v>
      </c>
      <c r="E8" s="6" t="s">
        <v>178</v>
      </c>
      <c r="F8" s="6" t="s">
        <v>179</v>
      </c>
      <c r="G8" s="6" t="s">
        <v>162</v>
      </c>
      <c r="H8" s="12">
        <v>0.0</v>
      </c>
      <c r="I8" s="12">
        <v>62000.0</v>
      </c>
      <c r="J8" s="12">
        <v>0.0</v>
      </c>
      <c r="K8" s="12">
        <f t="shared" si="1"/>
        <v>62000</v>
      </c>
      <c r="L8" s="12">
        <v>0.0</v>
      </c>
      <c r="M8" s="6" t="s">
        <v>53</v>
      </c>
    </row>
    <row r="9">
      <c r="A9" s="7" t="s">
        <v>180</v>
      </c>
      <c r="B9" s="13">
        <v>44880.0</v>
      </c>
      <c r="C9" s="13">
        <v>44882.0</v>
      </c>
      <c r="D9" s="7" t="s">
        <v>181</v>
      </c>
      <c r="E9" s="7" t="s">
        <v>182</v>
      </c>
      <c r="F9" s="7" t="s">
        <v>183</v>
      </c>
      <c r="G9" s="7" t="s">
        <v>162</v>
      </c>
      <c r="H9" s="14">
        <v>0.0</v>
      </c>
      <c r="I9" s="14">
        <v>2100.0</v>
      </c>
      <c r="J9" s="14">
        <v>9800.0</v>
      </c>
      <c r="K9" s="14">
        <f t="shared" si="1"/>
        <v>11900</v>
      </c>
      <c r="L9" s="14">
        <v>65000.0</v>
      </c>
      <c r="M9" s="7" t="s">
        <v>57</v>
      </c>
    </row>
    <row r="10">
      <c r="A10" s="6" t="s">
        <v>184</v>
      </c>
      <c r="B10" s="11">
        <v>44979.0</v>
      </c>
      <c r="C10" s="11">
        <v>44981.0</v>
      </c>
      <c r="D10" s="6" t="s">
        <v>185</v>
      </c>
      <c r="E10" s="6" t="s">
        <v>186</v>
      </c>
      <c r="F10" s="6" t="s">
        <v>187</v>
      </c>
      <c r="G10" s="6" t="s">
        <v>188</v>
      </c>
      <c r="H10" s="12">
        <v>0.0</v>
      </c>
      <c r="I10" s="12">
        <v>3400.0</v>
      </c>
      <c r="J10" s="12">
        <v>0.0</v>
      </c>
      <c r="K10" s="12">
        <f t="shared" si="1"/>
        <v>3400</v>
      </c>
      <c r="L10" s="12">
        <v>0.0</v>
      </c>
      <c r="M10" s="6" t="s">
        <v>53</v>
      </c>
    </row>
    <row r="11">
      <c r="A11" s="7" t="s">
        <v>189</v>
      </c>
      <c r="B11" s="13">
        <v>45062.0</v>
      </c>
      <c r="C11" s="13">
        <v>45064.0</v>
      </c>
      <c r="D11" s="7" t="s">
        <v>190</v>
      </c>
      <c r="E11" s="7" t="s">
        <v>191</v>
      </c>
      <c r="F11" s="7" t="s">
        <v>161</v>
      </c>
      <c r="G11" s="7" t="s">
        <v>162</v>
      </c>
      <c r="H11" s="14">
        <v>8500.0</v>
      </c>
      <c r="I11" s="14">
        <v>3200.0</v>
      </c>
      <c r="J11" s="14">
        <v>4100.0</v>
      </c>
      <c r="K11" s="14">
        <f t="shared" si="1"/>
        <v>15800</v>
      </c>
      <c r="L11" s="14">
        <v>0.0</v>
      </c>
      <c r="M11" s="7" t="s">
        <v>53</v>
      </c>
    </row>
    <row r="12">
      <c r="A12" s="6" t="s">
        <v>192</v>
      </c>
      <c r="B12" s="11">
        <v>45173.0</v>
      </c>
      <c r="C12" s="11">
        <v>45174.0</v>
      </c>
      <c r="D12" s="6" t="s">
        <v>193</v>
      </c>
      <c r="E12" s="6" t="s">
        <v>194</v>
      </c>
      <c r="F12" s="6" t="s">
        <v>195</v>
      </c>
      <c r="G12" s="6" t="s">
        <v>162</v>
      </c>
      <c r="H12" s="12">
        <v>0.0</v>
      </c>
      <c r="I12" s="12">
        <v>8900.0</v>
      </c>
      <c r="J12" s="12">
        <v>14200.0</v>
      </c>
      <c r="K12" s="12">
        <f t="shared" si="1"/>
        <v>23100</v>
      </c>
      <c r="L12" s="12">
        <v>95000.0</v>
      </c>
      <c r="M12" s="6" t="s">
        <v>57</v>
      </c>
    </row>
    <row r="13">
      <c r="A13" s="7" t="s">
        <v>196</v>
      </c>
      <c r="B13" s="13">
        <v>45321.0</v>
      </c>
      <c r="C13" s="13">
        <v>45323.0</v>
      </c>
      <c r="D13" s="7" t="s">
        <v>197</v>
      </c>
      <c r="E13" s="7" t="s">
        <v>198</v>
      </c>
      <c r="F13" s="7" t="s">
        <v>199</v>
      </c>
      <c r="G13" s="7" t="s">
        <v>167</v>
      </c>
      <c r="H13" s="14">
        <v>0.0</v>
      </c>
      <c r="I13" s="14">
        <v>5600.0</v>
      </c>
      <c r="J13" s="14">
        <v>0.0</v>
      </c>
      <c r="K13" s="14">
        <f t="shared" si="1"/>
        <v>5600</v>
      </c>
      <c r="L13" s="14">
        <v>0.0</v>
      </c>
      <c r="M13" s="7" t="s">
        <v>53</v>
      </c>
    </row>
    <row r="14">
      <c r="A14" s="6" t="s">
        <v>200</v>
      </c>
      <c r="B14" s="11">
        <v>45363.0</v>
      </c>
      <c r="C14" s="11">
        <v>45364.0</v>
      </c>
      <c r="D14" s="6" t="s">
        <v>201</v>
      </c>
      <c r="E14" s="6" t="s">
        <v>202</v>
      </c>
      <c r="F14" s="6" t="s">
        <v>203</v>
      </c>
      <c r="G14" s="6" t="s">
        <v>162</v>
      </c>
      <c r="H14" s="12">
        <v>0.0</v>
      </c>
      <c r="I14" s="12">
        <v>1200.0</v>
      </c>
      <c r="J14" s="12">
        <v>0.0</v>
      </c>
      <c r="K14" s="12">
        <f t="shared" si="1"/>
        <v>1200</v>
      </c>
      <c r="L14" s="12">
        <v>0.0</v>
      </c>
      <c r="M14" s="6" t="s">
        <v>53</v>
      </c>
    </row>
    <row r="15">
      <c r="A15" s="15"/>
      <c r="B15" s="15"/>
      <c r="C15" s="15"/>
      <c r="D15" s="15"/>
      <c r="E15" s="15"/>
      <c r="F15" s="15" t="s">
        <v>82</v>
      </c>
      <c r="G15" s="15"/>
      <c r="H15" s="16">
        <f t="shared" ref="H15:L15" si="2">SUM(H4:H14)</f>
        <v>43500</v>
      </c>
      <c r="I15" s="16">
        <f t="shared" si="2"/>
        <v>105250</v>
      </c>
      <c r="J15" s="16">
        <f t="shared" si="2"/>
        <v>46600</v>
      </c>
      <c r="K15" s="16">
        <f t="shared" si="2"/>
        <v>195350</v>
      </c>
      <c r="L15" s="16">
        <f t="shared" si="2"/>
        <v>205000</v>
      </c>
      <c r="M15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5" width="28.0"/>
    <col customWidth="1" min="6" max="7" width="16.0"/>
    <col customWidth="1" min="8" max="11" width="14.0"/>
    <col customWidth="1" min="12" max="12" width="10.0"/>
    <col customWidth="1" min="13" max="26" width="8.71"/>
  </cols>
  <sheetData>
    <row r="1" ht="30.0" customHeight="1">
      <c r="A1" s="8" t="s">
        <v>204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17" t="s">
        <v>205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7.75" customHeight="1">
      <c r="A3" s="10" t="s">
        <v>151</v>
      </c>
      <c r="B3" s="10" t="s">
        <v>39</v>
      </c>
      <c r="C3" s="10" t="s">
        <v>40</v>
      </c>
      <c r="D3" s="10" t="s">
        <v>206</v>
      </c>
      <c r="E3" s="10" t="s">
        <v>207</v>
      </c>
      <c r="F3" s="10" t="s">
        <v>208</v>
      </c>
      <c r="G3" s="10" t="s">
        <v>209</v>
      </c>
      <c r="H3" s="10" t="s">
        <v>210</v>
      </c>
      <c r="I3" s="10" t="s">
        <v>46</v>
      </c>
      <c r="J3" s="10" t="s">
        <v>211</v>
      </c>
      <c r="K3" s="10" t="s">
        <v>212</v>
      </c>
      <c r="L3" s="10" t="s">
        <v>49</v>
      </c>
    </row>
    <row r="4">
      <c r="A4" s="6" t="s">
        <v>213</v>
      </c>
      <c r="B4" s="11">
        <v>43902.0</v>
      </c>
      <c r="C4" s="11">
        <v>43904.0</v>
      </c>
      <c r="D4" s="6" t="s">
        <v>214</v>
      </c>
      <c r="E4" s="6" t="s">
        <v>215</v>
      </c>
      <c r="F4" s="12">
        <v>85000.0</v>
      </c>
      <c r="G4" s="12">
        <v>22000.0</v>
      </c>
      <c r="H4" s="12">
        <v>45000.0</v>
      </c>
      <c r="I4" s="12">
        <f t="shared" ref="I4:I13" si="1">SUM(F4:H4)</f>
        <v>152000</v>
      </c>
      <c r="J4" s="12">
        <v>10000.0</v>
      </c>
      <c r="K4" s="12">
        <f t="shared" ref="K4:K13" si="2">I4-J4</f>
        <v>142000</v>
      </c>
      <c r="L4" s="6" t="s">
        <v>53</v>
      </c>
    </row>
    <row r="5">
      <c r="A5" s="7" t="s">
        <v>216</v>
      </c>
      <c r="B5" s="13">
        <v>44048.0</v>
      </c>
      <c r="C5" s="13">
        <v>44050.0</v>
      </c>
      <c r="D5" s="7" t="s">
        <v>217</v>
      </c>
      <c r="E5" s="7" t="s">
        <v>218</v>
      </c>
      <c r="F5" s="14">
        <v>18500.0</v>
      </c>
      <c r="G5" s="14">
        <v>4200.0</v>
      </c>
      <c r="H5" s="14">
        <v>0.0</v>
      </c>
      <c r="I5" s="14">
        <f t="shared" si="1"/>
        <v>22700</v>
      </c>
      <c r="J5" s="14">
        <v>5000.0</v>
      </c>
      <c r="K5" s="14">
        <f t="shared" si="2"/>
        <v>17700</v>
      </c>
      <c r="L5" s="7" t="s">
        <v>53</v>
      </c>
    </row>
    <row r="6">
      <c r="A6" s="6" t="s">
        <v>219</v>
      </c>
      <c r="B6" s="11">
        <v>44155.0</v>
      </c>
      <c r="C6" s="11">
        <v>44157.0</v>
      </c>
      <c r="D6" s="6" t="s">
        <v>220</v>
      </c>
      <c r="E6" s="6" t="s">
        <v>221</v>
      </c>
      <c r="F6" s="12">
        <v>32000.0</v>
      </c>
      <c r="G6" s="12">
        <v>9800.0</v>
      </c>
      <c r="H6" s="12">
        <v>12000.0</v>
      </c>
      <c r="I6" s="12">
        <f t="shared" si="1"/>
        <v>53800</v>
      </c>
      <c r="J6" s="12">
        <v>5000.0</v>
      </c>
      <c r="K6" s="12">
        <f t="shared" si="2"/>
        <v>48800</v>
      </c>
      <c r="L6" s="6" t="s">
        <v>53</v>
      </c>
    </row>
    <row r="7">
      <c r="A7" s="7" t="s">
        <v>222</v>
      </c>
      <c r="B7" s="13">
        <v>44242.0</v>
      </c>
      <c r="C7" s="13">
        <v>44245.0</v>
      </c>
      <c r="D7" s="7" t="s">
        <v>214</v>
      </c>
      <c r="E7" s="7" t="s">
        <v>223</v>
      </c>
      <c r="F7" s="14">
        <v>14200.0</v>
      </c>
      <c r="G7" s="14">
        <v>0.0</v>
      </c>
      <c r="H7" s="14">
        <v>0.0</v>
      </c>
      <c r="I7" s="14">
        <f t="shared" si="1"/>
        <v>14200</v>
      </c>
      <c r="J7" s="14">
        <v>5000.0</v>
      </c>
      <c r="K7" s="14">
        <f t="shared" si="2"/>
        <v>9200</v>
      </c>
      <c r="L7" s="7" t="s">
        <v>53</v>
      </c>
    </row>
    <row r="8">
      <c r="A8" s="6" t="s">
        <v>224</v>
      </c>
      <c r="B8" s="11">
        <v>44381.0</v>
      </c>
      <c r="C8" s="11">
        <v>44383.0</v>
      </c>
      <c r="D8" s="6" t="s">
        <v>225</v>
      </c>
      <c r="E8" s="6" t="s">
        <v>226</v>
      </c>
      <c r="F8" s="12">
        <v>4500.0</v>
      </c>
      <c r="G8" s="12">
        <v>12000.0</v>
      </c>
      <c r="H8" s="12">
        <v>0.0</v>
      </c>
      <c r="I8" s="12">
        <f t="shared" si="1"/>
        <v>16500</v>
      </c>
      <c r="J8" s="12">
        <v>5000.0</v>
      </c>
      <c r="K8" s="12">
        <f t="shared" si="2"/>
        <v>11500</v>
      </c>
      <c r="L8" s="6" t="s">
        <v>53</v>
      </c>
    </row>
    <row r="9">
      <c r="A9" s="7" t="s">
        <v>227</v>
      </c>
      <c r="B9" s="13">
        <v>44469.0</v>
      </c>
      <c r="C9" s="13">
        <v>44471.0</v>
      </c>
      <c r="D9" s="7" t="s">
        <v>217</v>
      </c>
      <c r="E9" s="7" t="s">
        <v>228</v>
      </c>
      <c r="F9" s="14">
        <v>125000.0</v>
      </c>
      <c r="G9" s="14">
        <v>38000.0</v>
      </c>
      <c r="H9" s="14">
        <v>62000.0</v>
      </c>
      <c r="I9" s="14">
        <f t="shared" si="1"/>
        <v>225000</v>
      </c>
      <c r="J9" s="14">
        <v>10000.0</v>
      </c>
      <c r="K9" s="14">
        <f t="shared" si="2"/>
        <v>215000</v>
      </c>
      <c r="L9" s="7" t="s">
        <v>53</v>
      </c>
    </row>
    <row r="10">
      <c r="A10" s="6" t="s">
        <v>229</v>
      </c>
      <c r="B10" s="11">
        <v>44673.0</v>
      </c>
      <c r="C10" s="11">
        <v>44676.0</v>
      </c>
      <c r="D10" s="6" t="s">
        <v>230</v>
      </c>
      <c r="E10" s="6" t="s">
        <v>231</v>
      </c>
      <c r="F10" s="12">
        <v>22000.0</v>
      </c>
      <c r="G10" s="12">
        <v>15000.0</v>
      </c>
      <c r="H10" s="12">
        <v>8500.0</v>
      </c>
      <c r="I10" s="12">
        <f t="shared" si="1"/>
        <v>45500</v>
      </c>
      <c r="J10" s="12">
        <v>5000.0</v>
      </c>
      <c r="K10" s="12">
        <f t="shared" si="2"/>
        <v>40500</v>
      </c>
      <c r="L10" s="6" t="s">
        <v>53</v>
      </c>
    </row>
    <row r="11">
      <c r="A11" s="7" t="s">
        <v>232</v>
      </c>
      <c r="B11" s="13">
        <v>44918.0</v>
      </c>
      <c r="C11" s="13">
        <v>44923.0</v>
      </c>
      <c r="D11" s="7" t="s">
        <v>233</v>
      </c>
      <c r="E11" s="7" t="s">
        <v>234</v>
      </c>
      <c r="F11" s="14">
        <v>0.0</v>
      </c>
      <c r="G11" s="14">
        <v>28000.0</v>
      </c>
      <c r="H11" s="14">
        <v>0.0</v>
      </c>
      <c r="I11" s="14">
        <f t="shared" si="1"/>
        <v>28000</v>
      </c>
      <c r="J11" s="14">
        <v>5000.0</v>
      </c>
      <c r="K11" s="14">
        <f t="shared" si="2"/>
        <v>23000</v>
      </c>
      <c r="L11" s="7" t="s">
        <v>53</v>
      </c>
    </row>
    <row r="12">
      <c r="A12" s="6" t="s">
        <v>235</v>
      </c>
      <c r="B12" s="11">
        <v>45087.0</v>
      </c>
      <c r="C12" s="11">
        <v>45089.0</v>
      </c>
      <c r="D12" s="6" t="s">
        <v>220</v>
      </c>
      <c r="E12" s="6" t="s">
        <v>236</v>
      </c>
      <c r="F12" s="12">
        <v>195000.0</v>
      </c>
      <c r="G12" s="12">
        <v>44000.0</v>
      </c>
      <c r="H12" s="12">
        <v>88000.0</v>
      </c>
      <c r="I12" s="12">
        <f t="shared" si="1"/>
        <v>327000</v>
      </c>
      <c r="J12" s="12">
        <v>10000.0</v>
      </c>
      <c r="K12" s="12">
        <f t="shared" si="2"/>
        <v>317000</v>
      </c>
      <c r="L12" s="6" t="s">
        <v>57</v>
      </c>
    </row>
    <row r="13">
      <c r="A13" s="7" t="s">
        <v>237</v>
      </c>
      <c r="B13" s="13">
        <v>45204.0</v>
      </c>
      <c r="C13" s="13">
        <v>45206.0</v>
      </c>
      <c r="D13" s="7" t="s">
        <v>214</v>
      </c>
      <c r="E13" s="7" t="s">
        <v>238</v>
      </c>
      <c r="F13" s="14">
        <v>0.0</v>
      </c>
      <c r="G13" s="14">
        <v>18500.0</v>
      </c>
      <c r="H13" s="14">
        <v>22000.0</v>
      </c>
      <c r="I13" s="14">
        <f t="shared" si="1"/>
        <v>40500</v>
      </c>
      <c r="J13" s="14">
        <v>5000.0</v>
      </c>
      <c r="K13" s="14">
        <f t="shared" si="2"/>
        <v>35500</v>
      </c>
      <c r="L13" s="7" t="s">
        <v>57</v>
      </c>
    </row>
    <row r="14">
      <c r="A14" s="15"/>
      <c r="B14" s="15"/>
      <c r="C14" s="15"/>
      <c r="D14" s="15" t="s">
        <v>82</v>
      </c>
      <c r="E14" s="15"/>
      <c r="F14" s="16">
        <f t="shared" ref="F14:K14" si="3">SUM(F4:F13)</f>
        <v>496200</v>
      </c>
      <c r="G14" s="16">
        <f t="shared" si="3"/>
        <v>191500</v>
      </c>
      <c r="H14" s="16">
        <f t="shared" si="3"/>
        <v>237500</v>
      </c>
      <c r="I14" s="16">
        <f t="shared" si="3"/>
        <v>925200</v>
      </c>
      <c r="J14" s="16">
        <f t="shared" si="3"/>
        <v>65000</v>
      </c>
      <c r="K14" s="16">
        <f t="shared" si="3"/>
        <v>860200</v>
      </c>
      <c r="L14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4.0"/>
    <col customWidth="1" min="4" max="4" width="26.0"/>
    <col customWidth="1" min="5" max="5" width="40.0"/>
    <col customWidth="1" min="6" max="6" width="20.0"/>
    <col customWidth="1" min="7" max="11" width="16.0"/>
    <col customWidth="1" min="12" max="12" width="22.0"/>
    <col customWidth="1" min="13" max="13" width="10.0"/>
    <col customWidth="1" min="14" max="26" width="8.71"/>
  </cols>
  <sheetData>
    <row r="1" ht="30.0" customHeight="1">
      <c r="A1" s="8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240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27.75" customHeight="1">
      <c r="A3" s="9" t="s">
        <v>38</v>
      </c>
      <c r="B3" s="10" t="s">
        <v>241</v>
      </c>
      <c r="C3" s="10" t="s">
        <v>40</v>
      </c>
      <c r="D3" s="10" t="s">
        <v>242</v>
      </c>
      <c r="E3" s="10" t="s">
        <v>243</v>
      </c>
      <c r="F3" s="10" t="s">
        <v>244</v>
      </c>
      <c r="G3" s="10" t="s">
        <v>245</v>
      </c>
      <c r="H3" s="10" t="s">
        <v>43</v>
      </c>
      <c r="I3" s="10" t="s">
        <v>46</v>
      </c>
      <c r="J3" s="10" t="s">
        <v>47</v>
      </c>
      <c r="K3" s="10" t="s">
        <v>48</v>
      </c>
      <c r="L3" s="10" t="s">
        <v>246</v>
      </c>
      <c r="M3" s="10" t="s">
        <v>49</v>
      </c>
    </row>
    <row r="4">
      <c r="A4" s="6" t="s">
        <v>247</v>
      </c>
      <c r="B4" s="11">
        <v>44216.0</v>
      </c>
      <c r="C4" s="11">
        <v>44232.0</v>
      </c>
      <c r="D4" s="6" t="s">
        <v>248</v>
      </c>
      <c r="E4" s="6" t="s">
        <v>249</v>
      </c>
      <c r="F4" s="6" t="s">
        <v>250</v>
      </c>
      <c r="G4" s="12">
        <v>42000.0</v>
      </c>
      <c r="H4" s="12">
        <v>0.0</v>
      </c>
      <c r="I4" s="12">
        <f t="shared" ref="I4:I12" si="1">SUM(G4:H4)</f>
        <v>42000</v>
      </c>
      <c r="J4" s="12">
        <v>185000.0</v>
      </c>
      <c r="K4" s="12">
        <f t="shared" ref="K4:K12" si="2">I4+J4</f>
        <v>227000</v>
      </c>
      <c r="L4" s="6" t="s">
        <v>251</v>
      </c>
      <c r="M4" s="6" t="s">
        <v>57</v>
      </c>
    </row>
    <row r="5">
      <c r="A5" s="7" t="s">
        <v>252</v>
      </c>
      <c r="B5" s="13">
        <v>44300.0</v>
      </c>
      <c r="C5" s="13">
        <v>44317.0</v>
      </c>
      <c r="D5" s="7" t="s">
        <v>253</v>
      </c>
      <c r="E5" s="7" t="s">
        <v>254</v>
      </c>
      <c r="F5" s="7" t="s">
        <v>255</v>
      </c>
      <c r="G5" s="14">
        <v>18500.0</v>
      </c>
      <c r="H5" s="14">
        <v>75000.0</v>
      </c>
      <c r="I5" s="14">
        <f t="shared" si="1"/>
        <v>93500</v>
      </c>
      <c r="J5" s="14">
        <v>0.0</v>
      </c>
      <c r="K5" s="14">
        <f t="shared" si="2"/>
        <v>93500</v>
      </c>
      <c r="L5" s="7" t="s">
        <v>256</v>
      </c>
      <c r="M5" s="7" t="s">
        <v>53</v>
      </c>
    </row>
    <row r="6">
      <c r="A6" s="6" t="s">
        <v>257</v>
      </c>
      <c r="B6" s="11">
        <v>44438.0</v>
      </c>
      <c r="C6" s="11">
        <v>44454.0</v>
      </c>
      <c r="D6" s="6" t="s">
        <v>258</v>
      </c>
      <c r="E6" s="6" t="s">
        <v>259</v>
      </c>
      <c r="F6" s="6" t="s">
        <v>260</v>
      </c>
      <c r="G6" s="12">
        <v>88000.0</v>
      </c>
      <c r="H6" s="12">
        <v>250000.0</v>
      </c>
      <c r="I6" s="12">
        <f t="shared" si="1"/>
        <v>338000</v>
      </c>
      <c r="J6" s="12">
        <v>0.0</v>
      </c>
      <c r="K6" s="12">
        <f t="shared" si="2"/>
        <v>338000</v>
      </c>
      <c r="L6" s="6" t="s">
        <v>256</v>
      </c>
      <c r="M6" s="6" t="s">
        <v>53</v>
      </c>
    </row>
    <row r="7">
      <c r="A7" s="7" t="s">
        <v>261</v>
      </c>
      <c r="B7" s="13">
        <v>44625.0</v>
      </c>
      <c r="C7" s="13">
        <v>44642.0</v>
      </c>
      <c r="D7" s="7" t="s">
        <v>262</v>
      </c>
      <c r="E7" s="7" t="s">
        <v>263</v>
      </c>
      <c r="F7" s="7" t="s">
        <v>264</v>
      </c>
      <c r="G7" s="14">
        <v>65000.0</v>
      </c>
      <c r="H7" s="14">
        <v>0.0</v>
      </c>
      <c r="I7" s="14">
        <f t="shared" si="1"/>
        <v>65000</v>
      </c>
      <c r="J7" s="14">
        <v>420000.0</v>
      </c>
      <c r="K7" s="14">
        <f t="shared" si="2"/>
        <v>485000</v>
      </c>
      <c r="L7" s="7" t="s">
        <v>251</v>
      </c>
      <c r="M7" s="7" t="s">
        <v>57</v>
      </c>
    </row>
    <row r="8">
      <c r="A8" s="6" t="s">
        <v>265</v>
      </c>
      <c r="B8" s="11">
        <v>44760.0</v>
      </c>
      <c r="C8" s="11">
        <v>44777.0</v>
      </c>
      <c r="D8" s="6" t="s">
        <v>266</v>
      </c>
      <c r="E8" s="6" t="s">
        <v>267</v>
      </c>
      <c r="F8" s="6" t="s">
        <v>268</v>
      </c>
      <c r="G8" s="12">
        <v>31000.0</v>
      </c>
      <c r="H8" s="12">
        <v>48000.0</v>
      </c>
      <c r="I8" s="12">
        <f t="shared" si="1"/>
        <v>79000</v>
      </c>
      <c r="J8" s="12">
        <v>0.0</v>
      </c>
      <c r="K8" s="12">
        <f t="shared" si="2"/>
        <v>79000</v>
      </c>
      <c r="L8" s="6" t="s">
        <v>256</v>
      </c>
      <c r="M8" s="6" t="s">
        <v>53</v>
      </c>
    </row>
    <row r="9">
      <c r="A9" s="7" t="s">
        <v>269</v>
      </c>
      <c r="B9" s="13">
        <v>44874.0</v>
      </c>
      <c r="C9" s="13">
        <v>44895.0</v>
      </c>
      <c r="D9" s="7" t="s">
        <v>270</v>
      </c>
      <c r="E9" s="7" t="s">
        <v>271</v>
      </c>
      <c r="F9" s="7" t="s">
        <v>272</v>
      </c>
      <c r="G9" s="14">
        <v>95000.0</v>
      </c>
      <c r="H9" s="14">
        <v>0.0</v>
      </c>
      <c r="I9" s="14">
        <f t="shared" si="1"/>
        <v>95000</v>
      </c>
      <c r="J9" s="14">
        <v>650000.0</v>
      </c>
      <c r="K9" s="14">
        <f t="shared" si="2"/>
        <v>745000</v>
      </c>
      <c r="L9" s="7" t="s">
        <v>273</v>
      </c>
      <c r="M9" s="7" t="s">
        <v>57</v>
      </c>
    </row>
    <row r="10">
      <c r="A10" s="6" t="s">
        <v>274</v>
      </c>
      <c r="B10" s="11">
        <v>44958.0</v>
      </c>
      <c r="C10" s="11">
        <v>44976.0</v>
      </c>
      <c r="D10" s="6" t="s">
        <v>275</v>
      </c>
      <c r="E10" s="6" t="s">
        <v>276</v>
      </c>
      <c r="F10" s="6" t="s">
        <v>277</v>
      </c>
      <c r="G10" s="12">
        <v>22000.0</v>
      </c>
      <c r="H10" s="12">
        <v>35000.0</v>
      </c>
      <c r="I10" s="12">
        <f t="shared" si="1"/>
        <v>57000</v>
      </c>
      <c r="J10" s="12">
        <v>0.0</v>
      </c>
      <c r="K10" s="12">
        <f t="shared" si="2"/>
        <v>57000</v>
      </c>
      <c r="L10" s="6" t="s">
        <v>256</v>
      </c>
      <c r="M10" s="6" t="s">
        <v>53</v>
      </c>
    </row>
    <row r="11">
      <c r="A11" s="7" t="s">
        <v>278</v>
      </c>
      <c r="B11" s="13">
        <v>45092.0</v>
      </c>
      <c r="C11" s="13">
        <v>45109.0</v>
      </c>
      <c r="D11" s="7" t="s">
        <v>279</v>
      </c>
      <c r="E11" s="7" t="s">
        <v>280</v>
      </c>
      <c r="F11" s="7" t="s">
        <v>281</v>
      </c>
      <c r="G11" s="14">
        <v>54000.0</v>
      </c>
      <c r="H11" s="14">
        <v>0.0</v>
      </c>
      <c r="I11" s="14">
        <f t="shared" si="1"/>
        <v>54000</v>
      </c>
      <c r="J11" s="14">
        <v>280000.0</v>
      </c>
      <c r="K11" s="14">
        <f t="shared" si="2"/>
        <v>334000</v>
      </c>
      <c r="L11" s="7" t="s">
        <v>251</v>
      </c>
      <c r="M11" s="7" t="s">
        <v>57</v>
      </c>
    </row>
    <row r="12">
      <c r="A12" s="6" t="s">
        <v>282</v>
      </c>
      <c r="B12" s="11">
        <v>45227.0</v>
      </c>
      <c r="C12" s="11">
        <v>45244.0</v>
      </c>
      <c r="D12" s="6" t="s">
        <v>283</v>
      </c>
      <c r="E12" s="6" t="s">
        <v>284</v>
      </c>
      <c r="F12" s="6" t="s">
        <v>250</v>
      </c>
      <c r="G12" s="12">
        <v>15000.0</v>
      </c>
      <c r="H12" s="12">
        <v>0.0</v>
      </c>
      <c r="I12" s="12">
        <f t="shared" si="1"/>
        <v>15000</v>
      </c>
      <c r="J12" s="12">
        <v>55000.0</v>
      </c>
      <c r="K12" s="12">
        <f t="shared" si="2"/>
        <v>70000</v>
      </c>
      <c r="L12" s="6" t="s">
        <v>251</v>
      </c>
      <c r="M12" s="6" t="s">
        <v>57</v>
      </c>
    </row>
    <row r="13">
      <c r="A13" s="15"/>
      <c r="B13" s="15"/>
      <c r="C13" s="15"/>
      <c r="D13" s="15"/>
      <c r="E13" s="15" t="s">
        <v>82</v>
      </c>
      <c r="F13" s="15"/>
      <c r="G13" s="16">
        <f t="shared" ref="G13:K13" si="3">SUM(G4:G12)</f>
        <v>430500</v>
      </c>
      <c r="H13" s="16">
        <f t="shared" si="3"/>
        <v>408000</v>
      </c>
      <c r="I13" s="16">
        <f t="shared" si="3"/>
        <v>838500</v>
      </c>
      <c r="J13" s="16">
        <f t="shared" si="3"/>
        <v>1590000</v>
      </c>
      <c r="K13" s="16">
        <f t="shared" si="3"/>
        <v>2428500</v>
      </c>
      <c r="L13" s="15"/>
      <c r="M13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2026-03-02T10:05:53Z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